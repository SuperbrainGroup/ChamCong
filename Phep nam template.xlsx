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W2" authorId="0">
      <text>
        <r>
          <rPr>
            <b/>
            <sz val="9"/>
            <rFont val="Tahoma"/>
            <charset val="134"/>
          </rPr>
          <t>User:</t>
        </r>
        <r>
          <rPr>
            <sz val="9"/>
            <rFont val="Tahoma"/>
            <charset val="134"/>
          </rPr>
          <t xml:space="preserve">
Số tháng còn lại của năm chưa đươc tính phép</t>
        </r>
      </text>
    </comment>
  </commentList>
</comments>
</file>

<file path=xl/sharedStrings.xml><?xml version="1.0" encoding="utf-8"?>
<sst xmlns="http://schemas.openxmlformats.org/spreadsheetml/2006/main" count="73" uniqueCount="66">
  <si>
    <t>CÔNG TY CỔ PHẦN SUPERBRAIN GROUP</t>
  </si>
  <si>
    <t>BẢNG THEO DÕI PHÉP NĂM 2026</t>
  </si>
  <si>
    <t>TT</t>
  </si>
  <si>
    <t>Mã</t>
  </si>
  <si>
    <t>Họ tên</t>
  </si>
  <si>
    <t>BP</t>
  </si>
  <si>
    <t>Ngày vào</t>
  </si>
  <si>
    <t>Ngày tính</t>
  </si>
  <si>
    <t>Thâm niên</t>
  </si>
  <si>
    <t>Phép năm 2026</t>
  </si>
  <si>
    <t>Số ngày nghỉ trong năm-2026</t>
  </si>
  <si>
    <t>Số ngày đã nghỉ</t>
  </si>
  <si>
    <t>Số ngày phép còn lại đến tháng hiện tại</t>
  </si>
  <si>
    <t>Mức lương tính phép năm</t>
  </si>
  <si>
    <t>Lương phép năm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</si>
  <si>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</si>
  <si>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</si>
  <si>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</si>
  <si>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</si>
  <si>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</si>
  <si>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</si>
  <si>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</si>
  <si>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</si>
  <si>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</si>
  <si>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</si>
  <si>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</si>
  <si>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</si>
  <si>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QL01</t>
  </si>
  <si>
    <t>Siraya Thapanangkun</t>
  </si>
  <si>
    <t>Ban Giám Đốc</t>
  </si>
  <si>
    <t>QL03</t>
  </si>
  <si>
    <t>Hoàng Nguyện Trúc</t>
  </si>
  <si>
    <t>00006</t>
  </si>
  <si>
    <t>Nguyễn Thị Dung</t>
  </si>
  <si>
    <t>Đào tạo</t>
  </si>
  <si>
    <t>00076</t>
  </si>
  <si>
    <t>Nguyễn Thị Thu Nga</t>
  </si>
  <si>
    <t>00001</t>
  </si>
  <si>
    <t>Lê Quốc Sơn Hà</t>
  </si>
  <si>
    <t>IT</t>
  </si>
  <si>
    <t>00002</t>
  </si>
  <si>
    <t>Nguyễn Thị Lệ Thủy</t>
  </si>
  <si>
    <t>Kế toán</t>
  </si>
  <si>
    <t>00069</t>
  </si>
  <si>
    <t>Phan Ngọc Hiền Duyên</t>
  </si>
  <si>
    <t>Marketting</t>
  </si>
  <si>
    <t>00074</t>
  </si>
  <si>
    <t>Nguyễn Quốc Hưng</t>
  </si>
  <si>
    <t>00051</t>
  </si>
  <si>
    <t>Nguyễn Đoan Thục</t>
  </si>
  <si>
    <t>Pháp lý</t>
  </si>
  <si>
    <t>00031</t>
  </si>
  <si>
    <t>Trần Thị Lên</t>
  </si>
  <si>
    <t>HCNS</t>
  </si>
  <si>
    <t>QL02</t>
  </si>
  <si>
    <t>Ngô Thị Tiến Đoan</t>
  </si>
  <si>
    <t>DV01</t>
  </si>
  <si>
    <t>Hồ Thị Kim Chung</t>
  </si>
  <si>
    <t>00086</t>
  </si>
  <si>
    <t>Đinh Xuân Bảo Phúc</t>
  </si>
  <si>
    <t>Vật tư</t>
  </si>
  <si>
    <t>00053</t>
  </si>
  <si>
    <t>Phạm Thị Hương Thảo</t>
  </si>
  <si>
    <t>00088</t>
  </si>
  <si>
    <t>Phạm Thị Hà</t>
  </si>
  <si>
    <t>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</si>
</sst>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* #,##0.0_);_(* \(#,##0.0\);_(* &quot;-&quot;??_);_(@_)"/>
    <numFmt numFmtId="179" formatCode="_(* #,##0.0_);_(* \(#,##0.0\);_(* &quot;-&quot;_);_(@_)"/>
    <numFmt numFmtId="180" formatCode="#,##0.0_);[Red]\(#,##0.0\)"/>
  </numFmts>
  <fonts count="36">
    <font>
      <sz val="11"/>
      <color theme="1"/>
      <name val="Calibri"/>
      <charset val="134"/>
      <scheme val="minor"/>
    </font>
    <font>
      <b/>
      <sz val="11"/>
      <color theme="1"/>
      <name val="Cambria"/>
      <charset val="134"/>
    </font>
    <font>
      <b/>
      <sz val="11"/>
      <name val="Cambria"/>
      <charset val="134"/>
    </font>
    <font>
      <b/>
      <sz val="16"/>
      <name val="Times New Roman"/>
      <charset val="134"/>
    </font>
    <font>
      <b/>
      <sz val="10"/>
      <name val="Times New Roman"/>
      <charset val="134"/>
    </font>
    <font>
      <sz val="10"/>
      <color rgb="FFFF0000"/>
      <name val="Times New Roman"/>
      <charset val="134"/>
    </font>
    <font>
      <sz val="10"/>
      <name val="Times New Roman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rgb="FFFF0000"/>
      <name val="Times New Roman"/>
      <charset val="134"/>
    </font>
    <font>
      <sz val="9"/>
      <color theme="1"/>
      <name val="Times New Roman"/>
      <charset val="163"/>
    </font>
    <font>
      <sz val="10"/>
      <name val="Times New Roman"/>
      <charset val="163"/>
    </font>
    <font>
      <sz val="10"/>
      <color theme="1"/>
      <name val="Times New Roman"/>
      <charset val="163"/>
    </font>
    <font>
      <sz val="9"/>
      <name val="Times New Roman"/>
      <charset val="163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8" borderId="8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9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3" fillId="0" borderId="0"/>
  </cellStyleXfs>
  <cellXfs count="57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178" fontId="1" fillId="0" borderId="0" xfId="0" applyNumberFormat="1" applyFont="1" applyFill="1" applyAlignment="1"/>
    <xf numFmtId="0" fontId="3" fillId="0" borderId="0" xfId="49" applyFont="1" applyAlignment="1">
      <alignment horizontal="centerContinuous"/>
    </xf>
    <xf numFmtId="0" fontId="4" fillId="0" borderId="0" xfId="49" applyFont="1" applyAlignment="1">
      <alignment horizontal="centerContinuous"/>
    </xf>
    <xf numFmtId="43" fontId="5" fillId="0" borderId="0" xfId="1" applyNumberFormat="1" applyFont="1" applyFill="1" applyAlignment="1">
      <alignment horizontal="centerContinuous"/>
    </xf>
    <xf numFmtId="43" fontId="6" fillId="0" borderId="0" xfId="1" applyNumberFormat="1" applyFont="1" applyFill="1" applyAlignment="1">
      <alignment horizontal="centerContinuous"/>
    </xf>
    <xf numFmtId="178" fontId="6" fillId="0" borderId="0" xfId="1" applyNumberFormat="1" applyFont="1" applyFill="1" applyAlignment="1">
      <alignment horizontal="centerContinuous"/>
    </xf>
    <xf numFmtId="41" fontId="6" fillId="0" borderId="0" xfId="49" applyNumberFormat="1" applyFont="1"/>
    <xf numFmtId="0" fontId="7" fillId="0" borderId="0" xfId="0" applyFont="1" applyFill="1" applyAlignment="1"/>
    <xf numFmtId="179" fontId="6" fillId="0" borderId="0" xfId="49" applyNumberFormat="1" applyFont="1"/>
    <xf numFmtId="0" fontId="8" fillId="0" borderId="0" xfId="0" applyFont="1" applyFill="1" applyAlignment="1"/>
    <xf numFmtId="2" fontId="4" fillId="0" borderId="1" xfId="49" applyNumberFormat="1" applyFont="1" applyBorder="1" applyAlignment="1">
      <alignment horizontal="center" vertical="center" wrapText="1"/>
    </xf>
    <xf numFmtId="43" fontId="4" fillId="0" borderId="1" xfId="1" applyNumberFormat="1" applyFont="1" applyFill="1" applyBorder="1" applyAlignment="1">
      <alignment horizontal="center"/>
    </xf>
    <xf numFmtId="43" fontId="4" fillId="0" borderId="1" xfId="1" applyNumberFormat="1" applyFont="1" applyFill="1" applyBorder="1" applyAlignment="1">
      <alignment horizontal="center" vertical="center" wrapText="1"/>
    </xf>
    <xf numFmtId="0" fontId="4" fillId="0" borderId="1" xfId="49" applyFont="1" applyBorder="1" applyAlignment="1">
      <alignment horizontal="center" vertical="center" wrapText="1"/>
    </xf>
    <xf numFmtId="58" fontId="9" fillId="0" borderId="1" xfId="1" applyNumberFormat="1" applyFont="1" applyFill="1" applyBorder="1" applyAlignment="1">
      <alignment vertical="center" shrinkToFit="1"/>
    </xf>
    <xf numFmtId="178" fontId="4" fillId="0" borderId="1" xfId="49" applyNumberFormat="1" applyFont="1" applyBorder="1" applyAlignment="1">
      <alignment horizontal="center" vertical="center" wrapText="1"/>
    </xf>
    <xf numFmtId="0" fontId="4" fillId="2" borderId="1" xfId="49" applyFont="1" applyFill="1" applyBorder="1" applyAlignment="1">
      <alignment horizontal="center" vertical="center" wrapText="1"/>
    </xf>
    <xf numFmtId="38" fontId="4" fillId="0" borderId="1" xfId="49" applyNumberFormat="1" applyFont="1" applyBorder="1" applyAlignment="1">
      <alignment shrinkToFit="1"/>
    </xf>
    <xf numFmtId="38" fontId="7" fillId="0" borderId="1" xfId="0" applyNumberFormat="1" applyFont="1" applyFill="1" applyBorder="1" applyAlignment="1">
      <alignment shrinkToFit="1"/>
    </xf>
    <xf numFmtId="1" fontId="6" fillId="3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shrinkToFit="1"/>
    </xf>
    <xf numFmtId="0" fontId="10" fillId="0" borderId="1" xfId="0" applyFont="1" applyFill="1" applyBorder="1" applyAlignment="1">
      <alignment shrinkToFit="1"/>
    </xf>
    <xf numFmtId="58" fontId="6" fillId="0" borderId="1" xfId="49" applyNumberFormat="1" applyFont="1" applyBorder="1" applyAlignment="1">
      <alignment horizontal="center" shrinkToFit="1"/>
    </xf>
    <xf numFmtId="58" fontId="11" fillId="0" borderId="1" xfId="1" applyNumberFormat="1" applyFont="1" applyFill="1" applyBorder="1" applyAlignment="1">
      <alignment horizontal="center" shrinkToFit="1"/>
    </xf>
    <xf numFmtId="38" fontId="6" fillId="0" borderId="1" xfId="1" applyNumberFormat="1" applyFont="1" applyFill="1" applyBorder="1" applyAlignment="1">
      <alignment shrinkToFit="1"/>
    </xf>
    <xf numFmtId="180" fontId="6" fillId="0" borderId="1" xfId="49" applyNumberFormat="1" applyFont="1" applyBorder="1" applyAlignment="1">
      <alignment shrinkToFit="1"/>
    </xf>
    <xf numFmtId="38" fontId="6" fillId="0" borderId="1" xfId="49" applyNumberFormat="1" applyFont="1" applyBorder="1" applyAlignment="1">
      <alignment shrinkToFit="1"/>
    </xf>
    <xf numFmtId="49" fontId="12" fillId="0" borderId="1" xfId="0" applyNumberFormat="1" applyFont="1" applyFill="1" applyBorder="1" applyAlignment="1">
      <alignment horizontal="left" shrinkToFit="1"/>
    </xf>
    <xf numFmtId="0" fontId="12" fillId="0" borderId="1" xfId="0" applyFont="1" applyFill="1" applyBorder="1" applyAlignment="1">
      <alignment vertical="center" shrinkToFit="1"/>
    </xf>
    <xf numFmtId="0" fontId="13" fillId="0" borderId="1" xfId="0" applyFont="1" applyFill="1" applyBorder="1" applyAlignment="1">
      <alignment shrinkToFit="1"/>
    </xf>
    <xf numFmtId="180" fontId="6" fillId="0" borderId="1" xfId="1" applyNumberFormat="1" applyFont="1" applyFill="1" applyBorder="1" applyAlignment="1">
      <alignment shrinkToFit="1"/>
    </xf>
    <xf numFmtId="49" fontId="11" fillId="0" borderId="1" xfId="0" applyNumberFormat="1" applyFont="1" applyFill="1" applyBorder="1" applyAlignment="1">
      <alignment horizontal="left" shrinkToFit="1"/>
    </xf>
    <xf numFmtId="0" fontId="11" fillId="0" borderId="1" xfId="0" applyFont="1" applyFill="1" applyBorder="1" applyAlignment="1">
      <alignment vertical="center" shrinkToFit="1"/>
    </xf>
    <xf numFmtId="180" fontId="6" fillId="3" borderId="1" xfId="1" applyNumberFormat="1" applyFont="1" applyFill="1" applyBorder="1" applyAlignment="1">
      <alignment shrinkToFit="1"/>
    </xf>
    <xf numFmtId="49" fontId="13" fillId="0" borderId="1" xfId="0" applyNumberFormat="1" applyFont="1" applyFill="1" applyBorder="1" applyAlignment="1">
      <alignment horizontal="left" shrinkToFit="1"/>
    </xf>
    <xf numFmtId="0" fontId="10" fillId="0" borderId="2" xfId="0" applyFont="1" applyFill="1" applyBorder="1" applyAlignment="1">
      <alignment vertical="center" shrinkToFit="1"/>
    </xf>
    <xf numFmtId="49" fontId="12" fillId="0" borderId="3" xfId="0" applyNumberFormat="1" applyFont="1" applyFill="1" applyBorder="1" applyAlignment="1">
      <alignment horizontal="left" shrinkToFit="1"/>
    </xf>
    <xf numFmtId="49" fontId="11" fillId="0" borderId="1" xfId="0" applyNumberFormat="1" applyFont="1" applyFill="1" applyBorder="1" applyAlignment="1">
      <alignment horizontal="left" vertical="center" shrinkToFit="1"/>
    </xf>
    <xf numFmtId="49" fontId="10" fillId="0" borderId="1" xfId="0" applyNumberFormat="1" applyFont="1" applyFill="1" applyBorder="1" applyAlignment="1">
      <alignment horizontal="left" shrinkToFit="1"/>
    </xf>
    <xf numFmtId="0" fontId="13" fillId="0" borderId="1" xfId="0" applyFont="1" applyFill="1" applyBorder="1" applyAlignment="1">
      <alignment vertical="center" shrinkToFit="1"/>
    </xf>
    <xf numFmtId="49" fontId="11" fillId="4" borderId="1" xfId="0" applyNumberFormat="1" applyFont="1" applyFill="1" applyBorder="1" applyAlignment="1">
      <alignment horizontal="left" shrinkToFit="1"/>
    </xf>
    <xf numFmtId="1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vertical="center" shrinkToFit="1"/>
    </xf>
    <xf numFmtId="0" fontId="6" fillId="0" borderId="1" xfId="0" applyFont="1" applyFill="1" applyBorder="1" applyAlignment="1">
      <alignment shrinkToFit="1"/>
    </xf>
    <xf numFmtId="0" fontId="6" fillId="0" borderId="1" xfId="1" applyNumberFormat="1" applyFont="1" applyFill="1" applyBorder="1" applyAlignment="1">
      <alignment shrinkToFit="1"/>
    </xf>
    <xf numFmtId="180" fontId="5" fillId="0" borderId="1" xfId="1" applyNumberFormat="1" applyFont="1" applyFill="1" applyBorder="1" applyAlignment="1">
      <alignment shrinkToFit="1"/>
    </xf>
    <xf numFmtId="2" fontId="4" fillId="5" borderId="1" xfId="49" applyNumberFormat="1" applyFont="1" applyFill="1" applyBorder="1" applyAlignment="1">
      <alignment horizontal="centerContinuous" vertical="center" wrapText="1"/>
    </xf>
    <xf numFmtId="49" fontId="4" fillId="5" borderId="1" xfId="0" applyNumberFormat="1" applyFont="1" applyFill="1" applyBorder="1" applyAlignment="1">
      <alignment horizontal="centerContinuous" vertical="center" wrapText="1"/>
    </xf>
    <xf numFmtId="0" fontId="4" fillId="5" borderId="1" xfId="0" applyFont="1" applyFill="1" applyBorder="1" applyAlignment="1">
      <alignment horizontal="centerContinuous" vertical="center"/>
    </xf>
    <xf numFmtId="2" fontId="4" fillId="5" borderId="1" xfId="49" applyNumberFormat="1" applyFont="1" applyFill="1" applyBorder="1" applyAlignment="1">
      <alignment horizontal="center" vertical="center" wrapText="1"/>
    </xf>
    <xf numFmtId="41" fontId="4" fillId="5" borderId="1" xfId="1" applyNumberFormat="1" applyFont="1" applyFill="1" applyBorder="1" applyAlignment="1">
      <alignment vertical="center"/>
    </xf>
    <xf numFmtId="38" fontId="4" fillId="5" borderId="1" xfId="49" applyNumberFormat="1" applyFont="1" applyFill="1" applyBorder="1" applyAlignment="1">
      <alignment shrinkToFit="1"/>
    </xf>
    <xf numFmtId="180" fontId="4" fillId="5" borderId="1" xfId="49" applyNumberFormat="1" applyFont="1" applyFill="1" applyBorder="1" applyAlignment="1">
      <alignment shrinkToFit="1"/>
    </xf>
    <xf numFmtId="2" fontId="4" fillId="0" borderId="1" xfId="49" applyNumberFormat="1" applyFont="1" applyBorder="1" applyAlignment="1" quotePrefix="1">
      <alignment horizontal="center" vertical="center" wrapText="1"/>
    </xf>
    <xf numFmtId="178" fontId="4" fillId="0" borderId="1" xfId="49" applyNumberFormat="1" applyFont="1" applyBorder="1" applyAlignment="1" quotePrefix="1">
      <alignment horizontal="center" vertical="center" wrapText="1"/>
    </xf>
    <xf numFmtId="0" fontId="10" fillId="0" borderId="1" xfId="0" applyFont="1" applyFill="1" applyBorder="1" applyAlignment="1" quotePrefix="1">
      <alignment horizontal="left" vertical="center" shrinkToFit="1"/>
    </xf>
    <xf numFmtId="49" fontId="12" fillId="0" borderId="1" xfId="0" applyNumberFormat="1" applyFont="1" applyFill="1" applyBorder="1" applyAlignment="1" quotePrefix="1">
      <alignment horizontal="left" shrinkToFit="1"/>
    </xf>
    <xf numFmtId="49" fontId="11" fillId="0" borderId="1" xfId="0" applyNumberFormat="1" applyFont="1" applyFill="1" applyBorder="1" applyAlignment="1" quotePrefix="1">
      <alignment horizontal="left" shrinkToFit="1"/>
    </xf>
    <xf numFmtId="49" fontId="13" fillId="0" borderId="1" xfId="0" applyNumberFormat="1" applyFont="1" applyFill="1" applyBorder="1" applyAlignment="1" quotePrefix="1">
      <alignment horizontal="left" shrinkToFit="1"/>
    </xf>
    <xf numFmtId="49" fontId="12" fillId="0" borderId="3" xfId="0" applyNumberFormat="1" applyFont="1" applyFill="1" applyBorder="1" applyAlignment="1" quotePrefix="1">
      <alignment horizontal="left" shrinkToFit="1"/>
    </xf>
    <xf numFmtId="49" fontId="11" fillId="0" borderId="1" xfId="0" applyNumberFormat="1" applyFont="1" applyFill="1" applyBorder="1" applyAlignment="1" quotePrefix="1">
      <alignment horizontal="left" vertical="center" shrinkToFit="1"/>
    </xf>
    <xf numFmtId="49" fontId="10" fillId="0" borderId="1" xfId="0" applyNumberFormat="1" applyFont="1" applyFill="1" applyBorder="1" applyAlignment="1" quotePrefix="1">
      <alignment horizontal="left" shrinkToFit="1"/>
    </xf>
    <xf numFmtId="49" fontId="11" fillId="4" borderId="1" xfId="0" applyNumberFormat="1" applyFont="1" applyFill="1" applyBorder="1" applyAlignment="1" quotePrefix="1">
      <alignment horizontal="left" shrinkToFit="1"/>
    </xf>
    <xf numFmtId="49" fontId="6" fillId="0" borderId="1" xfId="0" applyNumberFormat="1" applyFont="1" applyFill="1" applyBorder="1" applyAlignment="1" quotePrefix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5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2"/>
  <sheetViews>
    <sheetView tabSelected="1" topLeftCell="C1" workbookViewId="0">
      <selection activeCell="T26" sqref="T26"/>
    </sheetView>
  </sheetViews>
  <sheetFormatPr defaultColWidth="8.88888888888889" defaultRowHeight="14.4"/>
  <sheetData>
    <row r="1" spans="1:24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1"/>
      <c r="V1" s="1"/>
      <c r="W1" s="1"/>
      <c r="X1" s="1"/>
    </row>
    <row r="2" ht="20.4" spans="1:24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O2" s="7"/>
      <c r="P2" s="7"/>
      <c r="Q2" s="7"/>
      <c r="R2" s="7"/>
      <c r="S2" s="7"/>
      <c r="T2" s="8"/>
      <c r="U2" s="7"/>
      <c r="V2" s="7"/>
      <c r="W2" s="9">
        <v>3</v>
      </c>
      <c r="X2" s="10"/>
    </row>
    <row r="3" spans="1:2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/>
      <c r="O3" s="7"/>
      <c r="P3" s="7"/>
      <c r="Q3" s="7"/>
      <c r="R3" s="7"/>
      <c r="S3" s="7"/>
      <c r="T3" s="8"/>
      <c r="U3" s="7"/>
      <c r="V3" s="7"/>
      <c r="W3" s="11"/>
      <c r="X3" s="12"/>
    </row>
    <row r="4" spans="1:24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4" t="s">
        <v>10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 t="s">
        <v>11</v>
      </c>
      <c r="V4" s="16" t="s">
        <v>12</v>
      </c>
      <c r="W4" s="16" t="s">
        <v>13</v>
      </c>
      <c r="X4" s="16" t="s">
        <v>14</v>
      </c>
    </row>
    <row r="5" spans="1:24">
      <c r="A5" s="13"/>
      <c r="B5" s="13"/>
      <c r="C5" s="13"/>
      <c r="D5" s="13"/>
      <c r="E5" s="13"/>
      <c r="F5" s="17">
        <v>46023</v>
      </c>
      <c r="G5" s="13"/>
      <c r="H5" s="13"/>
      <c r="I5" s="57" t="s">
        <v>15</v>
      </c>
      <c r="J5" s="57" t="s">
        <v>16</v>
      </c>
      <c r="K5" s="57" t="s">
        <v>17</v>
      </c>
      <c r="L5" s="57" t="s">
        <v>18</v>
      </c>
      <c r="M5" s="57" t="s">
        <v>19</v>
      </c>
      <c r="N5" s="57" t="s">
        <v>20</v>
      </c>
      <c r="O5" s="57" t="s">
        <v>21</v>
      </c>
      <c r="P5" s="57" t="s">
        <v>22</v>
      </c>
      <c r="Q5" s="57" t="s">
        <v>23</v>
      </c>
      <c r="R5" s="57" t="s">
        <v>24</v>
      </c>
      <c r="S5" s="57" t="s">
        <v>25</v>
      </c>
      <c r="T5" s="58" t="s">
        <v>26</v>
      </c>
      <c r="U5" s="15"/>
      <c r="V5" s="16"/>
      <c r="W5" s="16"/>
      <c r="X5" s="16"/>
    </row>
    <row r="6" spans="1:24">
      <c r="A6" s="19"/>
      <c r="B6" s="19">
        <v>1</v>
      </c>
      <c r="C6" s="19">
        <v>2</v>
      </c>
      <c r="D6" s="19"/>
      <c r="E6" s="19">
        <v>3</v>
      </c>
      <c r="F6" s="19">
        <v>4</v>
      </c>
      <c r="G6" s="19">
        <v>5</v>
      </c>
      <c r="H6" s="19">
        <v>6</v>
      </c>
      <c r="I6" s="19">
        <v>7</v>
      </c>
      <c r="J6" s="19">
        <v>8</v>
      </c>
      <c r="K6" s="19">
        <v>9</v>
      </c>
      <c r="L6" s="19">
        <v>10</v>
      </c>
      <c r="M6" s="19">
        <v>11</v>
      </c>
      <c r="N6" s="19">
        <v>12</v>
      </c>
      <c r="O6" s="19">
        <v>13</v>
      </c>
      <c r="P6" s="19">
        <v>14</v>
      </c>
      <c r="Q6" s="19">
        <v>15</v>
      </c>
      <c r="R6" s="19">
        <v>16</v>
      </c>
      <c r="S6" s="19">
        <v>17</v>
      </c>
      <c r="T6" s="19">
        <v>18</v>
      </c>
      <c r="U6" s="19">
        <v>19</v>
      </c>
      <c r="V6" s="19">
        <v>20</v>
      </c>
      <c r="W6" s="20"/>
      <c r="X6" s="21"/>
    </row>
    <row r="7" spans="1:24">
      <c r="A7" s="22">
        <f xml:space="preserve">IF(B7&lt;&gt;0,MAX($A$5:$A6)+1,0)</f>
        <v>1</v>
      </c>
      <c r="B7" s="59" t="s">
        <v>27</v>
      </c>
      <c r="C7" s="23" t="s">
        <v>28</v>
      </c>
      <c r="D7" s="24" t="s">
        <v>29</v>
      </c>
      <c r="E7" s="25"/>
      <c r="F7" s="26"/>
      <c r="G7" s="27">
        <f t="shared" ref="G7:G21" si="0" xml:space="preserve">ROUND((F7-E7)/365,0)</f>
        <v>0</v>
      </c>
      <c r="H7" s="27">
        <v>12</v>
      </c>
      <c r="I7" s="28"/>
      <c r="J7" s="28"/>
      <c r="K7" s="28"/>
      <c r="L7" s="28"/>
      <c r="M7" s="28"/>
      <c r="N7" s="28"/>
      <c r="O7" s="28"/>
      <c r="P7" s="28"/>
      <c r="Q7" s="28">
        <v>1</v>
      </c>
      <c r="R7" s="28"/>
      <c r="S7" s="28"/>
      <c r="T7" s="28"/>
      <c r="U7" s="28">
        <f t="shared" ref="U7:U20" si="1" xml:space="preserve">SUM(I7:T7)</f>
        <v>1</v>
      </c>
      <c r="V7" s="28">
        <f t="shared" ref="V7:V20" si="2" xml:space="preserve">+IF((H7-$W$2)&lt;0,0,H7-U7-$W$2)</f>
        <v>8</v>
      </c>
      <c r="W7" s="29">
        <f xml:space="preserve">IFERROR(VLOOKUP($B7,#REF!,5,0)+VLOOKUP($B7,#REF!,6,0),0)</f>
        <v>0</v>
      </c>
      <c r="X7" s="21"/>
    </row>
    <row r="8" spans="1:24">
      <c r="A8" s="22">
        <f xml:space="preserve">IF(B8&lt;&gt;0,MAX($A$5:$A7)+1,0)</f>
        <v>2</v>
      </c>
      <c r="B8" s="60" t="s">
        <v>30</v>
      </c>
      <c r="C8" s="31" t="s">
        <v>31</v>
      </c>
      <c r="D8" s="32" t="s">
        <v>29</v>
      </c>
      <c r="E8" s="25"/>
      <c r="F8" s="26"/>
      <c r="G8" s="27">
        <f t="shared" si="0"/>
        <v>0</v>
      </c>
      <c r="H8" s="27">
        <v>12</v>
      </c>
      <c r="I8" s="28"/>
      <c r="J8" s="28"/>
      <c r="K8" s="28"/>
      <c r="L8" s="28"/>
      <c r="M8" s="28"/>
      <c r="N8" s="28"/>
      <c r="O8" s="28"/>
      <c r="P8" s="28"/>
      <c r="Q8" s="33">
        <v>1</v>
      </c>
      <c r="R8" s="28"/>
      <c r="S8" s="28"/>
      <c r="T8" s="28"/>
      <c r="U8" s="28">
        <f t="shared" si="1"/>
        <v>1</v>
      </c>
      <c r="V8" s="28">
        <f t="shared" si="2"/>
        <v>8</v>
      </c>
      <c r="W8" s="29">
        <f xml:space="preserve">IFERROR(VLOOKUP($B8,#REF!,5,0)+VLOOKUP($B8,#REF!,6,0),0)</f>
        <v>0</v>
      </c>
      <c r="X8" s="21"/>
    </row>
    <row r="9" spans="1:24">
      <c r="A9" s="22">
        <f xml:space="preserve">IF(B9&lt;&gt;0,MAX($A$5:$A8)+1,0)</f>
        <v>3</v>
      </c>
      <c r="B9" s="61" t="s">
        <v>32</v>
      </c>
      <c r="C9" s="35" t="s">
        <v>33</v>
      </c>
      <c r="D9" s="32" t="s">
        <v>34</v>
      </c>
      <c r="E9" s="25">
        <v>44984</v>
      </c>
      <c r="F9" s="26">
        <v>46290</v>
      </c>
      <c r="G9" s="27">
        <f t="shared" si="0"/>
        <v>4</v>
      </c>
      <c r="H9" s="27">
        <v>12</v>
      </c>
      <c r="I9" s="28"/>
      <c r="J9" s="28"/>
      <c r="K9" s="28"/>
      <c r="L9" s="28"/>
      <c r="M9" s="28"/>
      <c r="N9" s="28"/>
      <c r="O9" s="36"/>
      <c r="P9" s="28">
        <v>6.5</v>
      </c>
      <c r="Q9" s="36">
        <v>1.5</v>
      </c>
      <c r="R9" s="28"/>
      <c r="S9" s="28"/>
      <c r="T9" s="28"/>
      <c r="U9" s="28">
        <f t="shared" si="1"/>
        <v>8</v>
      </c>
      <c r="V9" s="28">
        <f t="shared" si="2"/>
        <v>1</v>
      </c>
      <c r="W9" s="29">
        <f xml:space="preserve">IFERROR(VLOOKUP($B9,#REF!,5,0)+VLOOKUP($B9,#REF!,6,0),0)</f>
        <v>0</v>
      </c>
      <c r="X9" s="21"/>
    </row>
    <row r="10" spans="1:24">
      <c r="A10" s="22">
        <f xml:space="preserve">IF(B10&lt;&gt;0,MAX($A$5:$A9)+1,0)</f>
        <v>4</v>
      </c>
      <c r="B10" s="60" t="s">
        <v>35</v>
      </c>
      <c r="C10" s="35" t="s">
        <v>36</v>
      </c>
      <c r="D10" s="32" t="s">
        <v>34</v>
      </c>
      <c r="E10" s="25">
        <v>46078</v>
      </c>
      <c r="F10" s="26">
        <v>46290</v>
      </c>
      <c r="G10" s="27">
        <f t="shared" si="0"/>
        <v>1</v>
      </c>
      <c r="H10" s="27">
        <v>12</v>
      </c>
      <c r="I10" s="28"/>
      <c r="J10" s="28"/>
      <c r="K10" s="28"/>
      <c r="L10" s="28"/>
      <c r="M10" s="28"/>
      <c r="N10" s="33"/>
      <c r="O10" s="33"/>
      <c r="P10" s="33">
        <v>3</v>
      </c>
      <c r="Q10" s="33">
        <v>1</v>
      </c>
      <c r="R10" s="28"/>
      <c r="S10" s="28"/>
      <c r="T10" s="28"/>
      <c r="U10" s="28">
        <f t="shared" si="1"/>
        <v>4</v>
      </c>
      <c r="V10" s="28">
        <f t="shared" si="2"/>
        <v>5</v>
      </c>
      <c r="W10" s="29">
        <f xml:space="preserve">IFERROR(VLOOKUP($B10,#REF!,5,0)+VLOOKUP($B10,#REF!,6,0),0)</f>
        <v>0</v>
      </c>
      <c r="X10" s="21"/>
    </row>
    <row r="11" spans="1:24">
      <c r="A11" s="22">
        <f xml:space="preserve">IF(B11&lt;&gt;0,MAX($A$5:$A10)+1,0)</f>
        <v>5</v>
      </c>
      <c r="B11" s="61" t="s">
        <v>37</v>
      </c>
      <c r="C11" s="35" t="s">
        <v>38</v>
      </c>
      <c r="D11" s="32" t="s">
        <v>39</v>
      </c>
      <c r="E11" s="25">
        <v>43831</v>
      </c>
      <c r="F11" s="26">
        <v>46290</v>
      </c>
      <c r="G11" s="27">
        <f t="shared" si="0"/>
        <v>7</v>
      </c>
      <c r="H11" s="27">
        <v>13</v>
      </c>
      <c r="I11" s="28"/>
      <c r="J11" s="28"/>
      <c r="K11" s="28"/>
      <c r="L11" s="28"/>
      <c r="M11" s="28"/>
      <c r="N11" s="28"/>
      <c r="O11" s="36"/>
      <c r="P11" s="28">
        <v>1</v>
      </c>
      <c r="Q11" s="36">
        <v>1</v>
      </c>
      <c r="R11" s="28"/>
      <c r="S11" s="28"/>
      <c r="T11" s="28"/>
      <c r="U11" s="28">
        <f t="shared" si="1"/>
        <v>2</v>
      </c>
      <c r="V11" s="28">
        <f t="shared" si="2"/>
        <v>8</v>
      </c>
      <c r="W11" s="29">
        <f xml:space="preserve">IFERROR(VLOOKUP($B11,#REF!,5,0)+VLOOKUP($B11,#REF!,6,0),0)</f>
        <v>0</v>
      </c>
      <c r="X11" s="21"/>
    </row>
    <row r="12" spans="1:24">
      <c r="A12" s="22">
        <f xml:space="preserve">IF(B12&lt;&gt;0,MAX($A$5:$A11)+1,0)</f>
        <v>6</v>
      </c>
      <c r="B12" s="60" t="s">
        <v>40</v>
      </c>
      <c r="C12" s="31" t="s">
        <v>41</v>
      </c>
      <c r="D12" s="24" t="s">
        <v>42</v>
      </c>
      <c r="E12" s="25">
        <v>43322</v>
      </c>
      <c r="F12" s="26">
        <v>46290</v>
      </c>
      <c r="G12" s="27">
        <f t="shared" si="0"/>
        <v>8</v>
      </c>
      <c r="H12" s="27">
        <v>13</v>
      </c>
      <c r="I12" s="28"/>
      <c r="J12" s="28"/>
      <c r="K12" s="28"/>
      <c r="L12" s="28"/>
      <c r="M12" s="28"/>
      <c r="N12" s="33"/>
      <c r="O12" s="33"/>
      <c r="P12" s="28">
        <v>3.5</v>
      </c>
      <c r="Q12" s="33">
        <v>2</v>
      </c>
      <c r="R12" s="28"/>
      <c r="S12" s="28"/>
      <c r="T12" s="28"/>
      <c r="U12" s="28">
        <f t="shared" si="1"/>
        <v>5.5</v>
      </c>
      <c r="V12" s="28">
        <f t="shared" si="2"/>
        <v>4.5</v>
      </c>
      <c r="W12" s="29">
        <f xml:space="preserve">IFERROR(VLOOKUP($B12,#REF!,5,0)+VLOOKUP($B12,#REF!,6,0),0)</f>
        <v>0</v>
      </c>
      <c r="X12" s="21"/>
    </row>
    <row r="13" spans="1:24">
      <c r="A13" s="22">
        <f xml:space="preserve">IF(B13&lt;&gt;0,MAX($A$5:$A12)+1,0)</f>
        <v>7</v>
      </c>
      <c r="B13" s="62" t="s">
        <v>43</v>
      </c>
      <c r="C13" s="38" t="s">
        <v>44</v>
      </c>
      <c r="D13" s="32" t="s">
        <v>45</v>
      </c>
      <c r="E13" s="25">
        <v>45957</v>
      </c>
      <c r="F13" s="26">
        <v>46290</v>
      </c>
      <c r="G13" s="27">
        <f t="shared" si="0"/>
        <v>1</v>
      </c>
      <c r="H13" s="27">
        <v>12</v>
      </c>
      <c r="I13" s="28"/>
      <c r="J13" s="28"/>
      <c r="K13" s="28"/>
      <c r="L13" s="28"/>
      <c r="M13" s="28"/>
      <c r="N13" s="28"/>
      <c r="O13" s="28"/>
      <c r="P13" s="28">
        <v>5</v>
      </c>
      <c r="Q13" s="33">
        <v>1</v>
      </c>
      <c r="R13" s="28"/>
      <c r="S13" s="28"/>
      <c r="T13" s="28"/>
      <c r="U13" s="28">
        <f t="shared" si="1"/>
        <v>6</v>
      </c>
      <c r="V13" s="28">
        <f t="shared" si="2"/>
        <v>3</v>
      </c>
      <c r="W13" s="29">
        <f xml:space="preserve">IFERROR(VLOOKUP($B13,#REF!,5,0)+VLOOKUP($B13,#REF!,6,0),0)</f>
        <v>0</v>
      </c>
      <c r="X13" s="21"/>
    </row>
    <row r="14" spans="1:24">
      <c r="A14" s="22">
        <f xml:space="preserve">IF(B14&lt;&gt;0,MAX($A$5:$A13)+1,0)</f>
        <v>8</v>
      </c>
      <c r="B14" s="63" t="s">
        <v>46</v>
      </c>
      <c r="C14" s="31" t="s">
        <v>47</v>
      </c>
      <c r="D14" s="32" t="s">
        <v>45</v>
      </c>
      <c r="E14" s="25">
        <v>46037</v>
      </c>
      <c r="F14" s="26">
        <v>46290</v>
      </c>
      <c r="G14" s="27">
        <f t="shared" si="0"/>
        <v>1</v>
      </c>
      <c r="H14" s="27">
        <v>12</v>
      </c>
      <c r="I14" s="28"/>
      <c r="J14" s="28"/>
      <c r="K14" s="28"/>
      <c r="L14" s="28"/>
      <c r="M14" s="28"/>
      <c r="N14" s="28"/>
      <c r="O14" s="36"/>
      <c r="P14" s="36">
        <v>0.5</v>
      </c>
      <c r="Q14" s="36">
        <v>2</v>
      </c>
      <c r="R14" s="28"/>
      <c r="S14" s="28"/>
      <c r="T14" s="28"/>
      <c r="U14" s="28">
        <f t="shared" si="1"/>
        <v>2.5</v>
      </c>
      <c r="V14" s="28">
        <f t="shared" si="2"/>
        <v>6.5</v>
      </c>
      <c r="W14" s="29">
        <f xml:space="preserve">IFERROR(VLOOKUP($B14,#REF!,5,0)+VLOOKUP($B14,#REF!,6,0),0)</f>
        <v>0</v>
      </c>
      <c r="X14" s="21"/>
    </row>
    <row r="15" spans="1:24">
      <c r="A15" s="22">
        <f xml:space="preserve">IF(B15&lt;&gt;0,MAX($A$5:$A14)+1,0)</f>
        <v>9</v>
      </c>
      <c r="B15" s="64" t="s">
        <v>48</v>
      </c>
      <c r="C15" s="35" t="s">
        <v>49</v>
      </c>
      <c r="D15" s="32" t="s">
        <v>50</v>
      </c>
      <c r="E15" s="25">
        <v>45764</v>
      </c>
      <c r="F15" s="26">
        <v>46290</v>
      </c>
      <c r="G15" s="27">
        <f t="shared" si="0"/>
        <v>1</v>
      </c>
      <c r="H15" s="27">
        <v>12</v>
      </c>
      <c r="I15" s="28"/>
      <c r="J15" s="28"/>
      <c r="K15" s="28"/>
      <c r="L15" s="28"/>
      <c r="M15" s="28"/>
      <c r="N15" s="28"/>
      <c r="O15" s="36"/>
      <c r="P15" s="36">
        <v>7</v>
      </c>
      <c r="Q15" s="36">
        <v>1</v>
      </c>
      <c r="R15" s="28"/>
      <c r="S15" s="28"/>
      <c r="T15" s="28"/>
      <c r="U15" s="28">
        <f t="shared" si="1"/>
        <v>8</v>
      </c>
      <c r="V15" s="28">
        <f t="shared" si="2"/>
        <v>1</v>
      </c>
      <c r="W15" s="29">
        <f xml:space="preserve">IFERROR(VLOOKUP($B15,#REF!,5,0)+VLOOKUP($B15,#REF!,6,0),0)</f>
        <v>0</v>
      </c>
      <c r="X15" s="21"/>
    </row>
    <row r="16" spans="1:24">
      <c r="A16" s="22">
        <f xml:space="preserve">IF(B16&lt;&gt;0,MAX($A$5:$A15)+1,0)</f>
        <v>10</v>
      </c>
      <c r="B16" s="65" t="s">
        <v>51</v>
      </c>
      <c r="C16" s="42" t="s">
        <v>52</v>
      </c>
      <c r="D16" s="32" t="s">
        <v>53</v>
      </c>
      <c r="E16" s="25">
        <v>45208</v>
      </c>
      <c r="F16" s="26">
        <v>46290</v>
      </c>
      <c r="G16" s="27">
        <f t="shared" si="0"/>
        <v>3</v>
      </c>
      <c r="H16" s="27">
        <v>12</v>
      </c>
      <c r="I16" s="28"/>
      <c r="J16" s="28"/>
      <c r="K16" s="28"/>
      <c r="L16" s="28"/>
      <c r="M16" s="28"/>
      <c r="N16" s="33"/>
      <c r="O16" s="33"/>
      <c r="P16" s="33">
        <v>0.5</v>
      </c>
      <c r="Q16" s="33">
        <v>2</v>
      </c>
      <c r="R16" s="28"/>
      <c r="S16" s="28"/>
      <c r="T16" s="28"/>
      <c r="U16" s="28">
        <f t="shared" si="1"/>
        <v>2.5</v>
      </c>
      <c r="V16" s="28">
        <f t="shared" si="2"/>
        <v>6.5</v>
      </c>
      <c r="W16" s="29">
        <f xml:space="preserve">IFERROR(VLOOKUP($B16,#REF!,5,0)+VLOOKUP($B16,#REF!,6,0),0)</f>
        <v>0</v>
      </c>
      <c r="X16" s="21"/>
    </row>
    <row r="17" spans="1:24">
      <c r="A17" s="22">
        <f xml:space="preserve">IF(B17&lt;&gt;0,MAX($A$5:$A16)+1,0)</f>
        <v>11</v>
      </c>
      <c r="B17" s="59" t="s">
        <v>54</v>
      </c>
      <c r="C17" s="23" t="s">
        <v>55</v>
      </c>
      <c r="D17" s="24" t="s">
        <v>29</v>
      </c>
      <c r="E17" s="25"/>
      <c r="F17" s="26"/>
      <c r="G17" s="27">
        <f t="shared" si="0"/>
        <v>0</v>
      </c>
      <c r="H17" s="27"/>
      <c r="I17" s="28"/>
      <c r="J17" s="28"/>
      <c r="K17" s="28"/>
      <c r="L17" s="28"/>
      <c r="M17" s="28"/>
      <c r="N17" s="28"/>
      <c r="O17" s="28"/>
      <c r="P17" s="28"/>
      <c r="Q17" s="33"/>
      <c r="R17" s="28"/>
      <c r="S17" s="28"/>
      <c r="T17" s="28"/>
      <c r="U17" s="28">
        <f t="shared" si="1"/>
        <v>0</v>
      </c>
      <c r="V17" s="28">
        <f t="shared" si="2"/>
        <v>0</v>
      </c>
      <c r="W17" s="29">
        <f xml:space="preserve">IFERROR(VLOOKUP($B17,#REF!,5,0)+VLOOKUP($B17,#REF!,6,0),0)</f>
        <v>0</v>
      </c>
      <c r="X17" s="21"/>
    </row>
    <row r="18" spans="1:24">
      <c r="A18" s="22">
        <f xml:space="preserve">IF(B18&lt;&gt;0,MAX($A$5:$A17)+1,0)</f>
        <v>12</v>
      </c>
      <c r="B18" s="66" t="s">
        <v>56</v>
      </c>
      <c r="C18" s="35" t="s">
        <v>57</v>
      </c>
      <c r="D18" s="32" t="s">
        <v>42</v>
      </c>
      <c r="E18" s="25"/>
      <c r="F18" s="26"/>
      <c r="G18" s="27">
        <f t="shared" si="0"/>
        <v>0</v>
      </c>
      <c r="H18" s="27"/>
      <c r="I18" s="28"/>
      <c r="J18" s="28"/>
      <c r="K18" s="28"/>
      <c r="L18" s="28"/>
      <c r="M18" s="28"/>
      <c r="N18" s="28"/>
      <c r="O18" s="36"/>
      <c r="P18" s="28"/>
      <c r="Q18" s="36"/>
      <c r="R18" s="28"/>
      <c r="S18" s="28"/>
      <c r="T18" s="28"/>
      <c r="U18" s="28">
        <f t="shared" si="1"/>
        <v>0</v>
      </c>
      <c r="V18" s="28">
        <f t="shared" si="2"/>
        <v>0</v>
      </c>
      <c r="W18" s="29">
        <f xml:space="preserve">IFERROR(VLOOKUP($B18,#REF!,5,0)+VLOOKUP($B18,#REF!,6,0),0)</f>
        <v>0</v>
      </c>
      <c r="X18" s="21"/>
    </row>
    <row r="19" spans="1:24">
      <c r="A19" s="22">
        <f xml:space="preserve">IF(B19&lt;&gt;0,MAX($A$5:$A18)+1,0)</f>
        <v>13</v>
      </c>
      <c r="B19" s="63" t="s">
        <v>58</v>
      </c>
      <c r="C19" s="31" t="s">
        <v>59</v>
      </c>
      <c r="D19" s="24" t="s">
        <v>60</v>
      </c>
      <c r="E19" s="25">
        <v>46246</v>
      </c>
      <c r="F19" s="26">
        <v>46290</v>
      </c>
      <c r="G19" s="27">
        <f t="shared" si="0"/>
        <v>0</v>
      </c>
      <c r="H19" s="27"/>
      <c r="I19" s="28"/>
      <c r="J19" s="28"/>
      <c r="K19" s="28"/>
      <c r="L19" s="28"/>
      <c r="M19" s="28"/>
      <c r="N19" s="28"/>
      <c r="O19" s="36"/>
      <c r="P19" s="36"/>
      <c r="Q19" s="36"/>
      <c r="R19" s="28"/>
      <c r="S19" s="28"/>
      <c r="T19" s="28"/>
      <c r="U19" s="28">
        <f t="shared" si="1"/>
        <v>0</v>
      </c>
      <c r="V19" s="28">
        <f t="shared" si="2"/>
        <v>0</v>
      </c>
      <c r="W19" s="29">
        <f xml:space="preserve">IFERROR(VLOOKUP($B19,#REF!,5,0)+VLOOKUP($B19,#REF!,6,0),0)</f>
        <v>0</v>
      </c>
      <c r="X19" s="21"/>
    </row>
    <row r="20" spans="1:24">
      <c r="A20" s="44"/>
      <c r="B20" s="67" t="s">
        <v>61</v>
      </c>
      <c r="C20" s="46" t="s">
        <v>62</v>
      </c>
      <c r="D20" s="47" t="s">
        <v>29</v>
      </c>
      <c r="E20" s="25">
        <v>46272</v>
      </c>
      <c r="F20" s="26">
        <v>46290</v>
      </c>
      <c r="G20" s="48">
        <f t="shared" si="0"/>
        <v>0</v>
      </c>
      <c r="H20" s="27"/>
      <c r="I20" s="33"/>
      <c r="J20" s="33"/>
      <c r="K20" s="33"/>
      <c r="L20" s="33"/>
      <c r="M20" s="28"/>
      <c r="N20" s="33"/>
      <c r="O20" s="33"/>
      <c r="P20" s="33"/>
      <c r="Q20" s="33"/>
      <c r="R20" s="28"/>
      <c r="S20" s="28"/>
      <c r="T20" s="49"/>
      <c r="U20" s="28">
        <f t="shared" si="1"/>
        <v>0</v>
      </c>
      <c r="V20" s="28">
        <f t="shared" si="2"/>
        <v>0</v>
      </c>
      <c r="W20" s="29"/>
      <c r="X20" s="21"/>
    </row>
    <row r="21" spans="1:24">
      <c r="A21" s="44"/>
      <c r="B21" s="67" t="s">
        <v>63</v>
      </c>
      <c r="C21" s="46" t="s">
        <v>64</v>
      </c>
      <c r="D21" s="47" t="s">
        <v>45</v>
      </c>
      <c r="E21" s="25">
        <v>46279</v>
      </c>
      <c r="F21" s="26">
        <v>46290</v>
      </c>
      <c r="G21" s="48">
        <f t="shared" si="0"/>
        <v>0</v>
      </c>
      <c r="H21" s="27"/>
      <c r="I21" s="33"/>
      <c r="J21" s="33"/>
      <c r="K21" s="33"/>
      <c r="L21" s="33"/>
      <c r="M21" s="28"/>
      <c r="N21" s="33"/>
      <c r="O21" s="33"/>
      <c r="P21" s="33"/>
      <c r="Q21" s="33"/>
      <c r="R21" s="28"/>
      <c r="S21" s="28"/>
      <c r="T21" s="49"/>
      <c r="U21" s="28"/>
      <c r="V21" s="28"/>
      <c r="W21" s="29"/>
      <c r="X21" s="21"/>
    </row>
    <row r="22" spans="1:24">
      <c r="A22" s="50" t="s">
        <v>65</v>
      </c>
      <c r="B22" s="51"/>
      <c r="C22" s="52"/>
      <c r="D22" s="52"/>
      <c r="E22" s="53"/>
      <c r="F22" s="53"/>
      <c r="G22" s="54"/>
      <c r="H22" s="55">
        <f t="shared" ref="H22:X22" si="3" xml:space="preserve">SUM(H7:H20)</f>
        <v>122</v>
      </c>
      <c r="I22" s="55">
        <f t="shared" si="3"/>
        <v>0</v>
      </c>
      <c r="J22" s="55">
        <f t="shared" si="3"/>
        <v>0</v>
      </c>
      <c r="K22" s="56">
        <f t="shared" si="3"/>
        <v>0</v>
      </c>
      <c r="L22" s="56">
        <f t="shared" si="3"/>
        <v>0</v>
      </c>
      <c r="M22" s="56">
        <f t="shared" si="3"/>
        <v>0</v>
      </c>
      <c r="N22" s="55">
        <f t="shared" si="3"/>
        <v>0</v>
      </c>
      <c r="O22" s="55">
        <f t="shared" si="3"/>
        <v>0</v>
      </c>
      <c r="P22" s="55">
        <f t="shared" si="3"/>
        <v>27</v>
      </c>
      <c r="Q22" s="55">
        <f t="shared" si="3"/>
        <v>13.5</v>
      </c>
      <c r="R22" s="55">
        <f t="shared" si="3"/>
        <v>0</v>
      </c>
      <c r="S22" s="55">
        <f t="shared" si="3"/>
        <v>0</v>
      </c>
      <c r="T22" s="55">
        <f t="shared" si="3"/>
        <v>0</v>
      </c>
      <c r="U22" s="55">
        <f t="shared" si="3"/>
        <v>40.5</v>
      </c>
      <c r="V22" s="55">
        <f t="shared" si="3"/>
        <v>51.5</v>
      </c>
      <c r="W22" s="55">
        <f t="shared" si="3"/>
        <v>0</v>
      </c>
      <c r="X22" s="55">
        <f t="shared" si="3"/>
        <v>0</v>
      </c>
    </row>
  </sheetData>
  <mergeCells count="12">
    <mergeCell ref="I4:T4"/>
    <mergeCell ref="A4:A5"/>
    <mergeCell ref="B4:B5"/>
    <mergeCell ref="C4:C5"/>
    <mergeCell ref="D4:D5"/>
    <mergeCell ref="E4:E5"/>
    <mergeCell ref="G4:G5"/>
    <mergeCell ref="H4:H5"/>
    <mergeCell ref="U4:U5"/>
    <mergeCell ref="V4:V5"/>
    <mergeCell ref="W4:W5"/>
    <mergeCell ref="X4:X5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Hà Sơn</cp:lastModifiedBy>
  <dcterms:created xsi:type="dcterms:W3CDTF">2026-10-20T02:27:55Z</dcterms:created>
  <dcterms:modified xsi:type="dcterms:W3CDTF">2026-10-20T02:32:02Z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47786D0F806647FDACCE489C414C9CFD_13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